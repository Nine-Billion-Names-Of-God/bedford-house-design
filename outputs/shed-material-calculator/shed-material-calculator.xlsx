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Timber Rows" sheetId="2" state="visible" r:id="rId2"/>
    <sheet name="Sheet 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7C7C7"/>
      </left>
      <right style="thin">
        <color rgb="00C7C7C7"/>
      </right>
      <top style="thin">
        <color rgb="00C7C7C7"/>
      </top>
      <bottom style="thin">
        <color rgb="00C7C7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Shed Material Calculator</t>
        </is>
      </c>
    </row>
    <row r="3">
      <c r="A3" s="2" t="inlineStr">
        <is>
          <t>What this workbook does</t>
        </is>
      </c>
    </row>
    <row r="4">
      <c r="A4" s="2" t="inlineStr">
        <is>
          <t>1. Shows the source buy numbers currently captured from each design.</t>
        </is>
      </c>
    </row>
    <row r="5">
      <c r="A5" s="2" t="inlineStr">
        <is>
          <t>2. Lets you recalculate timber buy quantities using a waste % and stock length.</t>
        </is>
      </c>
    </row>
    <row r="6">
      <c r="A6" s="2" t="inlineStr">
        <is>
          <t>3. Lets you see original vs simplified totals side by side.</t>
        </is>
      </c>
    </row>
    <row r="7">
      <c r="A7" s="2" t="n"/>
    </row>
    <row r="8">
      <c r="A8" s="2" t="inlineStr">
        <is>
          <t>Core timber formula</t>
        </is>
      </c>
    </row>
    <row r="9">
      <c r="A9" s="2" t="inlineStr">
        <is>
          <t>buy lengths = ROUNDUP((calculated linear metres x (1 + waste %)) / stock length, 0)</t>
        </is>
      </c>
    </row>
    <row r="10">
      <c r="A10" s="2" t="n"/>
    </row>
    <row r="11">
      <c r="A11" s="2" t="inlineStr">
        <is>
          <t>Core sheet formula</t>
        </is>
      </c>
    </row>
    <row r="12">
      <c r="A12" s="2" t="inlineStr">
        <is>
          <t>buy sheets = ROUNDUP(calculated sheets + safety extra sheets, 0)</t>
        </is>
      </c>
    </row>
    <row r="13">
      <c r="A13" s="2" t="n"/>
    </row>
    <row r="14">
      <c r="A14" s="2" t="inlineStr">
        <is>
          <t>Important precision note</t>
        </is>
      </c>
    </row>
    <row r="15">
      <c r="A15" s="2" t="inlineStr">
        <is>
          <t>The current design rows are not all equally precise. Some are cut-list style totals, others are design-stage estimates from the candidate writeups.</t>
        </is>
      </c>
    </row>
    <row r="16">
      <c r="A16" s="2" t="n"/>
    </row>
    <row r="17">
      <c r="A17" s="2" t="inlineStr">
        <is>
          <t>How to use this for a new design</t>
        </is>
      </c>
    </row>
    <row r="18">
      <c r="A18" s="2" t="inlineStr">
        <is>
          <t>1. Add one row per timber section in the Timber Rows sheet.</t>
        </is>
      </c>
    </row>
    <row r="19">
      <c r="A19" s="2" t="inlineStr">
        <is>
          <t>2. Enter calculated linear metres for that section.</t>
        </is>
      </c>
    </row>
    <row r="20">
      <c r="A20" s="2" t="inlineStr">
        <is>
          <t>3. Set waste % and stock length.</t>
        </is>
      </c>
    </row>
    <row r="21">
      <c r="A21" s="2" t="inlineStr">
        <is>
          <t>4. Add one row per sheet type in the Sheet Rows sheet.</t>
        </is>
      </c>
    </row>
    <row r="22">
      <c r="A22" s="2" t="inlineStr">
        <is>
          <t>5. Set calculated sheets and any safety extra.</t>
        </is>
      </c>
    </row>
    <row r="23">
      <c r="A23" s="2" t="n"/>
    </row>
    <row r="24">
      <c r="A24" s="2" t="inlineStr">
        <is>
          <t>Interpretation</t>
        </is>
      </c>
    </row>
    <row r="25">
      <c r="A25" s="2" t="inlineStr">
        <is>
          <t>Claude Design 3 is lower because it uses a lean upright-plus-ledger frame. The larger OpenAI totals come from fuller freestanding carcass-style framing, separate dock/bench frames, and more secondary members.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34" customWidth="1" min="4" max="4"/>
    <col width="16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  <col width="16" customWidth="1" min="11" max="11"/>
    <col width="18" customWidth="1" min="12" max="12"/>
    <col width="48" customWidth="1" min="13" max="13"/>
  </cols>
  <sheetData>
    <row r="1">
      <c r="A1" s="1" t="inlineStr">
        <is>
          <t>Timber Rows</t>
        </is>
      </c>
    </row>
    <row r="3">
      <c r="A3" s="3" t="inlineStr">
        <is>
          <t>Design</t>
        </is>
      </c>
      <c r="B3" s="3" t="inlineStr">
        <is>
          <t>Version</t>
        </is>
      </c>
      <c r="C3" s="3" t="inlineStr">
        <is>
          <t>Bucket</t>
        </is>
      </c>
      <c r="D3" s="3" t="inlineStr">
        <is>
          <t>Section</t>
        </is>
      </c>
      <c r="E3" s="3" t="inlineStr">
        <is>
          <t>Calculated linear m</t>
        </is>
      </c>
      <c r="F3" s="3" t="inlineStr">
        <is>
          <t>Source stock length m</t>
        </is>
      </c>
      <c r="G3" s="3" t="inlineStr">
        <is>
          <t>Source buy lengths</t>
        </is>
      </c>
      <c r="H3" s="3" t="inlineStr">
        <is>
          <t>Source buy linear m</t>
        </is>
      </c>
      <c r="I3" s="3" t="inlineStr">
        <is>
          <t>Model waste %</t>
        </is>
      </c>
      <c r="J3" s="3" t="inlineStr">
        <is>
          <t>Model stock length m</t>
        </is>
      </c>
      <c r="K3" s="3" t="inlineStr">
        <is>
          <t>Model buy lengths</t>
        </is>
      </c>
      <c r="L3" s="3" t="inlineStr">
        <is>
          <t>Model buy linear m</t>
        </is>
      </c>
      <c r="M3" s="3" t="inlineStr">
        <is>
          <t>Notes</t>
        </is>
      </c>
    </row>
    <row r="4">
      <c r="A4" s="4" t="inlineStr">
        <is>
          <t>chatgpt-design-1</t>
        </is>
      </c>
      <c r="B4" s="4" t="inlineStr">
        <is>
          <t>original</t>
        </is>
      </c>
      <c r="C4" s="4" t="inlineStr">
        <is>
          <t>main framing</t>
        </is>
      </c>
      <c r="D4" s="4" t="inlineStr">
        <is>
          <t>38 x 63 mm structural softwood</t>
        </is>
      </c>
      <c r="E4" s="5" t="n">
        <v>72</v>
      </c>
      <c r="F4" s="5" t="n">
        <v>2.4</v>
      </c>
      <c r="G4" s="4" t="n">
        <v>32</v>
      </c>
      <c r="H4" s="5">
        <f>IF(OR(F4="",G4=""),"",F4*G4)</f>
        <v/>
      </c>
      <c r="I4" s="6" t="n">
        <v>0.1</v>
      </c>
      <c r="J4" s="5" t="n">
        <v>2.4</v>
      </c>
      <c r="K4" s="4">
        <f>IF(OR(E4="",I4="",J4=""),"",ROUNDUP((E4*(1+I4))/J4,0))</f>
        <v/>
      </c>
      <c r="L4" s="5">
        <f>IF(OR(J4="",K4=""),"",J4*K4)</f>
        <v/>
      </c>
      <c r="M4" s="4" t="inlineStr">
        <is>
          <t>source design says about 72 m, buy 32 lengths at 2.4 m</t>
        </is>
      </c>
    </row>
    <row r="5">
      <c r="A5" s="4" t="inlineStr">
        <is>
          <t>chatgpt-design-1</t>
        </is>
      </c>
      <c r="B5" s="4" t="inlineStr">
        <is>
          <t>original</t>
        </is>
      </c>
      <c r="C5" s="4" t="inlineStr">
        <is>
          <t>secondary timber</t>
        </is>
      </c>
      <c r="D5" s="4" t="inlineStr">
        <is>
          <t>25 x 50 mm battens</t>
        </is>
      </c>
      <c r="E5" s="5" t="n">
        <v>24</v>
      </c>
      <c r="F5" s="5" t="n">
        <v>2.4</v>
      </c>
      <c r="G5" s="4" t="n">
        <v>10</v>
      </c>
      <c r="H5" s="5">
        <f>IF(OR(F5="",G5=""),"",F5*G5)</f>
        <v/>
      </c>
      <c r="I5" s="6" t="n">
        <v>0.1</v>
      </c>
      <c r="J5" s="5" t="n">
        <v>2.4</v>
      </c>
      <c r="K5" s="4">
        <f>IF(OR(E5="",I5="",J5=""),"",ROUNDUP((E5*(1+I5))/J5,0))</f>
        <v/>
      </c>
      <c r="L5" s="5">
        <f>IF(OR(J5="",K5=""),"",J5*K5)</f>
        <v/>
      </c>
      <c r="M5" s="4" t="inlineStr">
        <is>
          <t>source design says about 24 m, buy 10 lengths at 2.4 m</t>
        </is>
      </c>
    </row>
    <row r="6">
      <c r="A6" s="4" t="inlineStr">
        <is>
          <t>chatgpt-design-1</t>
        </is>
      </c>
      <c r="B6" s="4" t="inlineStr">
        <is>
          <t>simplified</t>
        </is>
      </c>
      <c r="C6" s="4" t="inlineStr">
        <is>
          <t>main framing</t>
        </is>
      </c>
      <c r="D6" s="4" t="inlineStr">
        <is>
          <t>38 x 63 mm CLS</t>
        </is>
      </c>
      <c r="E6" s="5" t="n">
        <v>72</v>
      </c>
      <c r="F6" s="5" t="n">
        <v>3</v>
      </c>
      <c r="G6" s="4" t="n">
        <v>27</v>
      </c>
      <c r="H6" s="5">
        <f>IF(OR(F6="",G6=""),"",F6*G6)</f>
        <v/>
      </c>
      <c r="I6" s="6" t="n">
        <v>0.1</v>
      </c>
      <c r="J6" s="5" t="n">
        <v>3</v>
      </c>
      <c r="K6" s="4">
        <f>IF(OR(E6="",I6="",J6=""),"",ROUNDUP((E6*(1+I6))/J6,0))</f>
        <v/>
      </c>
      <c r="L6" s="5">
        <f>IF(OR(J6="",K6=""),"",J6*K6)</f>
        <v/>
      </c>
      <c r="M6" s="4" t="inlineStr">
        <is>
          <t>simplified common spec</t>
        </is>
      </c>
    </row>
    <row r="7">
      <c r="A7" s="4" t="inlineStr">
        <is>
          <t>chatgpt-design-1</t>
        </is>
      </c>
      <c r="B7" s="4" t="inlineStr">
        <is>
          <t>simplified</t>
        </is>
      </c>
      <c r="C7" s="4" t="inlineStr">
        <is>
          <t>secondary timber</t>
        </is>
      </c>
      <c r="D7" s="4" t="inlineStr">
        <is>
          <t>25 x 38 mm</t>
        </is>
      </c>
      <c r="E7" s="5" t="n">
        <v>24</v>
      </c>
      <c r="F7" s="5" t="n">
        <v>3</v>
      </c>
      <c r="G7" s="4" t="n">
        <v>9</v>
      </c>
      <c r="H7" s="5">
        <f>IF(OR(F7="",G7=""),"",F7*G7)</f>
        <v/>
      </c>
      <c r="I7" s="6" t="n">
        <v>0.1</v>
      </c>
      <c r="J7" s="5" t="n">
        <v>3</v>
      </c>
      <c r="K7" s="4">
        <f>IF(OR(E7="",I7="",J7=""),"",ROUNDUP((E7*(1+I7))/J7,0))</f>
        <v/>
      </c>
      <c r="L7" s="5">
        <f>IF(OR(J7="",K7=""),"",J7*K7)</f>
        <v/>
      </c>
      <c r="M7" s="4" t="inlineStr">
        <is>
          <t>simplified common spec</t>
        </is>
      </c>
    </row>
    <row r="8">
      <c r="A8" s="4" t="inlineStr">
        <is>
          <t>chatgpt-design-2</t>
        </is>
      </c>
      <c r="B8" s="4" t="inlineStr">
        <is>
          <t>original</t>
        </is>
      </c>
      <c r="C8" s="4" t="inlineStr">
        <is>
          <t>main framing</t>
        </is>
      </c>
      <c r="D8" s="4" t="inlineStr">
        <is>
          <t>45 x 70 mm CLS</t>
        </is>
      </c>
      <c r="E8" s="5" t="n">
        <v>57.6</v>
      </c>
      <c r="F8" s="5" t="n">
        <v>2.4</v>
      </c>
      <c r="G8" s="4" t="n">
        <v>24</v>
      </c>
      <c r="H8" s="5">
        <f>IF(OR(F8="",G8=""),"",F8*G8)</f>
        <v/>
      </c>
      <c r="I8" s="6" t="n">
        <v>0.1</v>
      </c>
      <c r="J8" s="5" t="n">
        <v>2.4</v>
      </c>
      <c r="K8" s="4">
        <f>IF(OR(E8="",I8="",J8=""),"",ROUNDUP((E8*(1+I8))/J8,0))</f>
        <v/>
      </c>
      <c r="L8" s="5">
        <f>IF(OR(J8="",K8=""),"",J8*K8)</f>
        <v/>
      </c>
      <c r="M8" s="4" t="inlineStr">
        <is>
          <t>source design gives 24 lengths at 2.4 m</t>
        </is>
      </c>
    </row>
    <row r="9">
      <c r="A9" s="4" t="inlineStr">
        <is>
          <t>chatgpt-design-2</t>
        </is>
      </c>
      <c r="B9" s="4" t="inlineStr">
        <is>
          <t>original</t>
        </is>
      </c>
      <c r="C9" s="4" t="inlineStr">
        <is>
          <t>secondary timber</t>
        </is>
      </c>
      <c r="D9" s="4" t="inlineStr">
        <is>
          <t>38 x 50 mm battens</t>
        </is>
      </c>
      <c r="E9" s="5" t="n">
        <v>36</v>
      </c>
      <c r="F9" s="5" t="n">
        <v>2.4</v>
      </c>
      <c r="G9" s="4" t="n">
        <v>15</v>
      </c>
      <c r="H9" s="5">
        <f>IF(OR(F9="",G9=""),"",F9*G9)</f>
        <v/>
      </c>
      <c r="I9" s="6" t="n">
        <v>0.1</v>
      </c>
      <c r="J9" s="5" t="n">
        <v>2.4</v>
      </c>
      <c r="K9" s="4">
        <f>IF(OR(E9="",I9="",J9=""),"",ROUNDUP((E9*(1+I9))/J9,0))</f>
        <v/>
      </c>
      <c r="L9" s="5">
        <f>IF(OR(J9="",K9=""),"",J9*K9)</f>
        <v/>
      </c>
      <c r="M9" s="4" t="inlineStr">
        <is>
          <t>source design gives 15 lengths at 2.4 m</t>
        </is>
      </c>
    </row>
    <row r="10">
      <c r="A10" s="4" t="inlineStr">
        <is>
          <t>chatgpt-design-2</t>
        </is>
      </c>
      <c r="B10" s="4" t="inlineStr">
        <is>
          <t>simplified</t>
        </is>
      </c>
      <c r="C10" s="4" t="inlineStr">
        <is>
          <t>main framing</t>
        </is>
      </c>
      <c r="D10" s="4" t="inlineStr">
        <is>
          <t>38 x 63 mm CLS</t>
        </is>
      </c>
      <c r="E10" s="5" t="n">
        <v>57.6</v>
      </c>
      <c r="F10" s="5" t="n">
        <v>3</v>
      </c>
      <c r="G10" s="4" t="n">
        <v>22</v>
      </c>
      <c r="H10" s="5">
        <f>IF(OR(F10="",G10=""),"",F10*G10)</f>
        <v/>
      </c>
      <c r="I10" s="6" t="n">
        <v>0.1</v>
      </c>
      <c r="J10" s="5" t="n">
        <v>3</v>
      </c>
      <c r="K10" s="4">
        <f>IF(OR(E10="",I10="",J10=""),"",ROUNDUP((E10*(1+I10))/J10,0))</f>
        <v/>
      </c>
      <c r="L10" s="5">
        <f>IF(OR(J10="",K10=""),"",J10*K10)</f>
        <v/>
      </c>
      <c r="M10" s="4" t="inlineStr">
        <is>
          <t>simplified common spec</t>
        </is>
      </c>
    </row>
    <row r="11">
      <c r="A11" s="4" t="inlineStr">
        <is>
          <t>chatgpt-design-2</t>
        </is>
      </c>
      <c r="B11" s="4" t="inlineStr">
        <is>
          <t>simplified</t>
        </is>
      </c>
      <c r="C11" s="4" t="inlineStr">
        <is>
          <t>secondary timber</t>
        </is>
      </c>
      <c r="D11" s="4" t="inlineStr">
        <is>
          <t>25 x 38 mm</t>
        </is>
      </c>
      <c r="E11" s="5" t="n">
        <v>36</v>
      </c>
      <c r="F11" s="5" t="n">
        <v>3</v>
      </c>
      <c r="G11" s="4" t="n">
        <v>14</v>
      </c>
      <c r="H11" s="5">
        <f>IF(OR(F11="",G11=""),"",F11*G11)</f>
        <v/>
      </c>
      <c r="I11" s="6" t="n">
        <v>0.1</v>
      </c>
      <c r="J11" s="5" t="n">
        <v>3</v>
      </c>
      <c r="K11" s="4">
        <f>IF(OR(E11="",I11="",J11=""),"",ROUNDUP((E11*(1+I11))/J11,0))</f>
        <v/>
      </c>
      <c r="L11" s="5">
        <f>IF(OR(J11="",K11=""),"",J11*K11)</f>
        <v/>
      </c>
      <c r="M11" s="4" t="inlineStr">
        <is>
          <t>simplified common spec</t>
        </is>
      </c>
    </row>
    <row r="12">
      <c r="A12" s="4" t="inlineStr">
        <is>
          <t>chatgpt-design-3</t>
        </is>
      </c>
      <c r="B12" s="4" t="inlineStr">
        <is>
          <t>original</t>
        </is>
      </c>
      <c r="C12" s="4" t="inlineStr">
        <is>
          <t>main framing</t>
        </is>
      </c>
      <c r="D12" s="4" t="inlineStr">
        <is>
          <t>38 x 63 mm structural timber</t>
        </is>
      </c>
      <c r="E12" s="5" t="n">
        <v>95</v>
      </c>
      <c r="F12" s="5" t="n">
        <v>3</v>
      </c>
      <c r="G12" s="4" t="n">
        <v>36</v>
      </c>
      <c r="H12" s="5">
        <f>IF(OR(F12="",G12=""),"",F12*G12)</f>
        <v/>
      </c>
      <c r="I12" s="6" t="n">
        <v>0.1</v>
      </c>
      <c r="J12" s="5" t="n">
        <v>3</v>
      </c>
      <c r="K12" s="4">
        <f>IF(OR(E12="",I12="",J12=""),"",ROUNDUP((E12*(1+I12))/J12,0))</f>
        <v/>
      </c>
      <c r="L12" s="5">
        <f>IF(OR(J12="",K12=""),"",J12*K12)</f>
        <v/>
      </c>
      <c r="M12" s="4" t="inlineStr">
        <is>
          <t>source design says about 95 m, order about 36 lengths</t>
        </is>
      </c>
    </row>
    <row r="13">
      <c r="A13" s="4" t="inlineStr">
        <is>
          <t>chatgpt-design-3</t>
        </is>
      </c>
      <c r="B13" s="4" t="inlineStr">
        <is>
          <t>original</t>
        </is>
      </c>
      <c r="C13" s="4" t="inlineStr">
        <is>
          <t>secondary timber</t>
        </is>
      </c>
      <c r="D13" s="4" t="inlineStr">
        <is>
          <t>38 x 38 mm cleats / lips / rails</t>
        </is>
      </c>
      <c r="E13" s="5" t="n">
        <v>16</v>
      </c>
      <c r="F13" s="5" t="n">
        <v>3</v>
      </c>
      <c r="G13" s="4" t="n">
        <v>6</v>
      </c>
      <c r="H13" s="5">
        <f>IF(OR(F13="",G13=""),"",F13*G13)</f>
        <v/>
      </c>
      <c r="I13" s="6" t="n">
        <v>0.1</v>
      </c>
      <c r="J13" s="5" t="n">
        <v>3</v>
      </c>
      <c r="K13" s="4">
        <f>IF(OR(E13="",I13="",J13=""),"",ROUNDUP((E13*(1+I13))/J13,0))</f>
        <v/>
      </c>
      <c r="L13" s="5">
        <f>IF(OR(J13="",K13=""),"",J13*K13)</f>
        <v/>
      </c>
      <c r="M13" s="4" t="inlineStr">
        <is>
          <t>source design says about 16 m</t>
        </is>
      </c>
    </row>
    <row r="14">
      <c r="A14" s="4" t="inlineStr">
        <is>
          <t>chatgpt-design-3</t>
        </is>
      </c>
      <c r="B14" s="4" t="inlineStr">
        <is>
          <t>original</t>
        </is>
      </c>
      <c r="C14" s="4" t="inlineStr">
        <is>
          <t>secondary timber</t>
        </is>
      </c>
      <c r="D14" s="4" t="inlineStr">
        <is>
          <t>18 x 44 mm stop battens / trims</t>
        </is>
      </c>
      <c r="E14" s="5" t="n">
        <v>8</v>
      </c>
      <c r="F14" s="5" t="n">
        <v>3</v>
      </c>
      <c r="G14" s="4" t="n">
        <v>3</v>
      </c>
      <c r="H14" s="5">
        <f>IF(OR(F14="",G14=""),"",F14*G14)</f>
        <v/>
      </c>
      <c r="I14" s="6" t="n">
        <v>0.1</v>
      </c>
      <c r="J14" s="5" t="n">
        <v>3</v>
      </c>
      <c r="K14" s="4">
        <f>IF(OR(E14="",I14="",J14=""),"",ROUNDUP((E14*(1+I14))/J14,0))</f>
        <v/>
      </c>
      <c r="L14" s="5">
        <f>IF(OR(J14="",K14=""),"",J14*K14)</f>
        <v/>
      </c>
      <c r="M14" s="4" t="inlineStr">
        <is>
          <t>source design says about 8 m</t>
        </is>
      </c>
    </row>
    <row r="15">
      <c r="A15" s="4" t="inlineStr">
        <is>
          <t>chatgpt-design-3</t>
        </is>
      </c>
      <c r="B15" s="4" t="inlineStr">
        <is>
          <t>simplified</t>
        </is>
      </c>
      <c r="C15" s="4" t="inlineStr">
        <is>
          <t>main framing</t>
        </is>
      </c>
      <c r="D15" s="4" t="inlineStr">
        <is>
          <t>38 x 63 mm CLS</t>
        </is>
      </c>
      <c r="E15" s="5" t="n">
        <v>95</v>
      </c>
      <c r="F15" s="5" t="n">
        <v>3</v>
      </c>
      <c r="G15" s="4" t="n">
        <v>35</v>
      </c>
      <c r="H15" s="5">
        <f>IF(OR(F15="",G15=""),"",F15*G15)</f>
        <v/>
      </c>
      <c r="I15" s="6" t="n">
        <v>0.1</v>
      </c>
      <c r="J15" s="5" t="n">
        <v>3</v>
      </c>
      <c r="K15" s="4">
        <f>IF(OR(E15="",I15="",J15=""),"",ROUNDUP((E15*(1+I15))/J15,0))</f>
        <v/>
      </c>
      <c r="L15" s="5">
        <f>IF(OR(J15="",K15=""),"",J15*K15)</f>
        <v/>
      </c>
      <c r="M15" s="4" t="inlineStr">
        <is>
          <t>simplified common spec</t>
        </is>
      </c>
    </row>
    <row r="16">
      <c r="A16" s="4" t="inlineStr">
        <is>
          <t>chatgpt-design-3</t>
        </is>
      </c>
      <c r="B16" s="4" t="inlineStr">
        <is>
          <t>simplified</t>
        </is>
      </c>
      <c r="C16" s="4" t="inlineStr">
        <is>
          <t>secondary timber</t>
        </is>
      </c>
      <c r="D16" s="4" t="inlineStr">
        <is>
          <t>25 x 38 mm</t>
        </is>
      </c>
      <c r="E16" s="5" t="n">
        <v>24</v>
      </c>
      <c r="F16" s="5" t="n">
        <v>3</v>
      </c>
      <c r="G16" s="4" t="n">
        <v>9</v>
      </c>
      <c r="H16" s="5">
        <f>IF(OR(F16="",G16=""),"",F16*G16)</f>
        <v/>
      </c>
      <c r="I16" s="6" t="n">
        <v>0.1</v>
      </c>
      <c r="J16" s="5" t="n">
        <v>3</v>
      </c>
      <c r="K16" s="4">
        <f>IF(OR(E16="",I16="",J16=""),"",ROUNDUP((E16*(1+I16))/J16,0))</f>
        <v/>
      </c>
      <c r="L16" s="5">
        <f>IF(OR(J16="",K16=""),"",J16*K16)</f>
        <v/>
      </c>
      <c r="M16" s="4" t="inlineStr">
        <is>
          <t>combined cleats plus stop battens</t>
        </is>
      </c>
    </row>
    <row r="17">
      <c r="A17" s="4" t="inlineStr">
        <is>
          <t>claude-design-1</t>
        </is>
      </c>
      <c r="B17" s="4" t="inlineStr">
        <is>
          <t>original</t>
        </is>
      </c>
      <c r="C17" s="4" t="inlineStr">
        <is>
          <t>main framing</t>
        </is>
      </c>
      <c r="D17" s="4" t="inlineStr">
        <is>
          <t>47 x 75 mm CLS</t>
        </is>
      </c>
      <c r="E17" s="5" t="n">
        <v>33.6</v>
      </c>
      <c r="F17" s="5" t="n">
        <v>2.4</v>
      </c>
      <c r="G17" s="4" t="n">
        <v>14</v>
      </c>
      <c r="H17" s="5">
        <f>IF(OR(F17="",G17=""),"",F17*G17)</f>
        <v/>
      </c>
      <c r="I17" s="6" t="n">
        <v>0.1</v>
      </c>
      <c r="J17" s="5" t="n">
        <v>2.4</v>
      </c>
      <c r="K17" s="4">
        <f>IF(OR(E17="",I17="",J17=""),"",ROUNDUP((E17*(1+I17))/J17,0))</f>
        <v/>
      </c>
      <c r="L17" s="5">
        <f>IF(OR(J17="",K17=""),"",J17*K17)</f>
        <v/>
      </c>
      <c r="M17" s="4" t="inlineStr">
        <is>
          <t>source design gives 14 lengths at 2.4 m</t>
        </is>
      </c>
    </row>
    <row r="18">
      <c r="A18" s="4" t="inlineStr">
        <is>
          <t>claude-design-1</t>
        </is>
      </c>
      <c r="B18" s="4" t="inlineStr">
        <is>
          <t>original</t>
        </is>
      </c>
      <c r="C18" s="4" t="inlineStr">
        <is>
          <t>main framing</t>
        </is>
      </c>
      <c r="D18" s="4" t="inlineStr">
        <is>
          <t>47 x 47 mm CLS</t>
        </is>
      </c>
      <c r="E18" s="5" t="n">
        <v>28.8</v>
      </c>
      <c r="F18" s="5" t="n">
        <v>2.4</v>
      </c>
      <c r="G18" s="4" t="n">
        <v>12</v>
      </c>
      <c r="H18" s="5">
        <f>IF(OR(F18="",G18=""),"",F18*G18)</f>
        <v/>
      </c>
      <c r="I18" s="6" t="n">
        <v>0.1</v>
      </c>
      <c r="J18" s="5" t="n">
        <v>2.4</v>
      </c>
      <c r="K18" s="4">
        <f>IF(OR(E18="",I18="",J18=""),"",ROUNDUP((E18*(1+I18))/J18,0))</f>
        <v/>
      </c>
      <c r="L18" s="5">
        <f>IF(OR(J18="",K18=""),"",J18*K18)</f>
        <v/>
      </c>
      <c r="M18" s="4" t="inlineStr">
        <is>
          <t>source design gives 12 lengths at 2.4 m</t>
        </is>
      </c>
    </row>
    <row r="19">
      <c r="A19" s="4" t="inlineStr">
        <is>
          <t>claude-design-1</t>
        </is>
      </c>
      <c r="B19" s="4" t="inlineStr">
        <is>
          <t>original</t>
        </is>
      </c>
      <c r="C19" s="4" t="inlineStr">
        <is>
          <t>main framing</t>
        </is>
      </c>
      <c r="D19" s="4" t="inlineStr">
        <is>
          <t>75 x 75 mm PAR</t>
        </is>
      </c>
      <c r="E19" s="5" t="n">
        <v>3.6</v>
      </c>
      <c r="F19" s="5" t="n">
        <v>2.4</v>
      </c>
      <c r="G19" s="4" t="n">
        <v>2</v>
      </c>
      <c r="H19" s="5">
        <f>IF(OR(F19="",G19=""),"",F19*G19)</f>
        <v/>
      </c>
      <c r="I19" s="6" t="n">
        <v>0.1</v>
      </c>
      <c r="J19" s="5" t="n">
        <v>2.4</v>
      </c>
      <c r="K19" s="4">
        <f>IF(OR(E19="",I19="",J19=""),"",ROUNDUP((E19*(1+I19))/J19,0))</f>
        <v/>
      </c>
      <c r="L19" s="5">
        <f>IF(OR(J19="",K19=""),"",J19*K19)</f>
        <v/>
      </c>
      <c r="M19" s="4" t="inlineStr">
        <is>
          <t>source design gives 4 legs total 3.6 m</t>
        </is>
      </c>
    </row>
    <row r="20">
      <c r="A20" s="4" t="inlineStr">
        <is>
          <t>claude-design-1</t>
        </is>
      </c>
      <c r="B20" s="4" t="inlineStr">
        <is>
          <t>original</t>
        </is>
      </c>
      <c r="C20" s="4" t="inlineStr">
        <is>
          <t>main framing</t>
        </is>
      </c>
      <c r="D20" s="4" t="inlineStr">
        <is>
          <t>47 x 100 mm CLS</t>
        </is>
      </c>
      <c r="E20" s="5" t="n">
        <v>7.2</v>
      </c>
      <c r="F20" s="5" t="n">
        <v>2.4</v>
      </c>
      <c r="G20" s="4" t="n">
        <v>3</v>
      </c>
      <c r="H20" s="5">
        <f>IF(OR(F20="",G20=""),"",F20*G20)</f>
        <v/>
      </c>
      <c r="I20" s="6" t="n">
        <v>0.1</v>
      </c>
      <c r="J20" s="5" t="n">
        <v>2.4</v>
      </c>
      <c r="K20" s="4">
        <f>IF(OR(E20="",I20="",J20=""),"",ROUNDUP((E20*(1+I20))/J20,0))</f>
        <v/>
      </c>
      <c r="L20" s="5">
        <f>IF(OR(J20="",K20=""),"",J20*K20)</f>
        <v/>
      </c>
      <c r="M20" s="4" t="inlineStr">
        <is>
          <t>source design gives 3 lengths at 2.4 m</t>
        </is>
      </c>
    </row>
    <row r="21">
      <c r="A21" s="4" t="inlineStr">
        <is>
          <t>claude-design-1</t>
        </is>
      </c>
      <c r="B21" s="4" t="inlineStr">
        <is>
          <t>original</t>
        </is>
      </c>
      <c r="C21" s="4" t="inlineStr">
        <is>
          <t>secondary timber</t>
        </is>
      </c>
      <c r="D21" s="4" t="inlineStr">
        <is>
          <t>25 x 50 mm battens</t>
        </is>
      </c>
      <c r="E21" s="5" t="n">
        <v>12</v>
      </c>
      <c r="F21" s="5" t="n">
        <v>2</v>
      </c>
      <c r="G21" s="4" t="n">
        <v>6</v>
      </c>
      <c r="H21" s="5">
        <f>IF(OR(F21="",G21=""),"",F21*G21)</f>
        <v/>
      </c>
      <c r="I21" s="6" t="n">
        <v>0.1</v>
      </c>
      <c r="J21" s="5" t="n">
        <v>2</v>
      </c>
      <c r="K21" s="4">
        <f>IF(OR(E21="",I21="",J21=""),"",ROUNDUP((E21*(1+I21))/J21,0))</f>
        <v/>
      </c>
      <c r="L21" s="5">
        <f>IF(OR(J21="",K21=""),"",J21*K21)</f>
        <v/>
      </c>
      <c r="M21" s="4" t="inlineStr">
        <is>
          <t>source design gives 6 lengths at 2.0 m</t>
        </is>
      </c>
    </row>
    <row r="22">
      <c r="A22" s="4" t="inlineStr">
        <is>
          <t>claude-design-1</t>
        </is>
      </c>
      <c r="B22" s="4" t="inlineStr">
        <is>
          <t>simplified</t>
        </is>
      </c>
      <c r="C22" s="4" t="inlineStr">
        <is>
          <t>main framing</t>
        </is>
      </c>
      <c r="D22" s="4" t="inlineStr">
        <is>
          <t>38 x 63 mm CLS</t>
        </is>
      </c>
      <c r="E22" s="5" t="n">
        <v>73.2</v>
      </c>
      <c r="F22" s="5" t="n">
        <v>3</v>
      </c>
      <c r="G22" s="4" t="n">
        <v>27</v>
      </c>
      <c r="H22" s="5">
        <f>IF(OR(F22="",G22=""),"",F22*G22)</f>
        <v/>
      </c>
      <c r="I22" s="6" t="n">
        <v>0.1</v>
      </c>
      <c r="J22" s="5" t="n">
        <v>3</v>
      </c>
      <c r="K22" s="4">
        <f>IF(OR(E22="",I22="",J22=""),"",ROUNDUP((E22*(1+I22))/J22,0))</f>
        <v/>
      </c>
      <c r="L22" s="5">
        <f>IF(OR(J22="",K22=""),"",J22*K22)</f>
        <v/>
      </c>
      <c r="M22" s="4" t="inlineStr">
        <is>
          <t>combined original main framing buckets</t>
        </is>
      </c>
    </row>
    <row r="23">
      <c r="A23" s="4" t="inlineStr">
        <is>
          <t>claude-design-1</t>
        </is>
      </c>
      <c r="B23" s="4" t="inlineStr">
        <is>
          <t>simplified</t>
        </is>
      </c>
      <c r="C23" s="4" t="inlineStr">
        <is>
          <t>secondary timber</t>
        </is>
      </c>
      <c r="D23" s="4" t="inlineStr">
        <is>
          <t>25 x 38 mm</t>
        </is>
      </c>
      <c r="E23" s="5" t="n">
        <v>12</v>
      </c>
      <c r="F23" s="5" t="n">
        <v>3</v>
      </c>
      <c r="G23" s="4" t="n">
        <v>5</v>
      </c>
      <c r="H23" s="5">
        <f>IF(OR(F23="",G23=""),"",F23*G23)</f>
        <v/>
      </c>
      <c r="I23" s="6" t="n">
        <v>0.1</v>
      </c>
      <c r="J23" s="5" t="n">
        <v>3</v>
      </c>
      <c r="K23" s="4">
        <f>IF(OR(E23="",I23="",J23=""),"",ROUNDUP((E23*(1+I23))/J23,0))</f>
        <v/>
      </c>
      <c r="L23" s="5">
        <f>IF(OR(J23="",K23=""),"",J23*K23)</f>
        <v/>
      </c>
      <c r="M23" s="4" t="inlineStr">
        <is>
          <t>simplified common spec</t>
        </is>
      </c>
    </row>
    <row r="24">
      <c r="A24" s="4" t="inlineStr">
        <is>
          <t>claude-design-2</t>
        </is>
      </c>
      <c r="B24" s="4" t="inlineStr">
        <is>
          <t>original</t>
        </is>
      </c>
      <c r="C24" s="4" t="inlineStr">
        <is>
          <t>main framing</t>
        </is>
      </c>
      <c r="D24" s="4" t="inlineStr">
        <is>
          <t>44 x 44 mm PAR softwood</t>
        </is>
      </c>
      <c r="E24" s="5" t="n">
        <v>57.6</v>
      </c>
      <c r="F24" s="5" t="n">
        <v>2.4</v>
      </c>
      <c r="G24" s="4" t="n">
        <v>29</v>
      </c>
      <c r="H24" s="5">
        <f>IF(OR(F24="",G24=""),"",F24*G24)</f>
        <v/>
      </c>
      <c r="I24" s="6" t="n">
        <v>0.1</v>
      </c>
      <c r="J24" s="5" t="n">
        <v>2.4</v>
      </c>
      <c r="K24" s="4">
        <f>IF(OR(E24="",I24="",J24=""),"",ROUNDUP((E24*(1+I24))/J24,0))</f>
        <v/>
      </c>
      <c r="L24" s="5">
        <f>IF(OR(J24="",K24=""),"",J24*K24)</f>
        <v/>
      </c>
      <c r="M24" s="4" t="inlineStr">
        <is>
          <t>source design rounds to 60 m and says order 29 lengths</t>
        </is>
      </c>
    </row>
    <row r="25">
      <c r="A25" s="4" t="inlineStr">
        <is>
          <t>claude-design-2</t>
        </is>
      </c>
      <c r="B25" s="4" t="inlineStr">
        <is>
          <t>original</t>
        </is>
      </c>
      <c r="C25" s="4" t="inlineStr">
        <is>
          <t>main framing</t>
        </is>
      </c>
      <c r="D25" s="4" t="inlineStr">
        <is>
          <t>44 x 94 mm PAR softwood</t>
        </is>
      </c>
      <c r="E25" s="5" t="n">
        <v>9.5</v>
      </c>
      <c r="F25" s="5" t="n">
        <v>2.4</v>
      </c>
      <c r="G25" s="4" t="n">
        <v>6</v>
      </c>
      <c r="H25" s="5">
        <f>IF(OR(F25="",G25=""),"",F25*G25)</f>
        <v/>
      </c>
      <c r="I25" s="6" t="n">
        <v>0.1</v>
      </c>
      <c r="J25" s="5" t="n">
        <v>2.4</v>
      </c>
      <c r="K25" s="4">
        <f>IF(OR(E25="",I25="",J25=""),"",ROUNDUP((E25*(1+I25))/J25,0))</f>
        <v/>
      </c>
      <c r="L25" s="5">
        <f>IF(OR(J25="",K25=""),"",J25*K25)</f>
        <v/>
      </c>
      <c r="M25" s="4" t="inlineStr">
        <is>
          <t>source design rounds to 10 m and says order 6 lengths</t>
        </is>
      </c>
    </row>
    <row r="26">
      <c r="A26" s="4" t="inlineStr">
        <is>
          <t>claude-design-2</t>
        </is>
      </c>
      <c r="B26" s="4" t="inlineStr">
        <is>
          <t>original</t>
        </is>
      </c>
      <c r="C26" s="4" t="inlineStr">
        <is>
          <t>secondary timber</t>
        </is>
      </c>
      <c r="D26" s="4" t="inlineStr">
        <is>
          <t>19 x 44 mm PAR batten</t>
        </is>
      </c>
      <c r="E26" s="5" t="n">
        <v>9</v>
      </c>
      <c r="F26" s="5" t="n">
        <v>2.4</v>
      </c>
      <c r="G26" s="4" t="n">
        <v>5</v>
      </c>
      <c r="H26" s="5">
        <f>IF(OR(F26="",G26=""),"",F26*G26)</f>
        <v/>
      </c>
      <c r="I26" s="6" t="n">
        <v>0.1</v>
      </c>
      <c r="J26" s="5" t="n">
        <v>2.4</v>
      </c>
      <c r="K26" s="4">
        <f>IF(OR(E26="",I26="",J26=""),"",ROUNDUP((E26*(1+I26))/J26,0))</f>
        <v/>
      </c>
      <c r="L26" s="5">
        <f>IF(OR(J26="",K26=""),"",J26*K26)</f>
        <v/>
      </c>
      <c r="M26" s="4" t="inlineStr">
        <is>
          <t>reconstructed from explicit batten uses in the design</t>
        </is>
      </c>
    </row>
    <row r="27">
      <c r="A27" s="4" t="inlineStr">
        <is>
          <t>claude-design-2</t>
        </is>
      </c>
      <c r="B27" s="4" t="inlineStr">
        <is>
          <t>simplified</t>
        </is>
      </c>
      <c r="C27" s="4" t="inlineStr">
        <is>
          <t>main framing</t>
        </is>
      </c>
      <c r="D27" s="4" t="inlineStr">
        <is>
          <t>38 x 63 mm CLS</t>
        </is>
      </c>
      <c r="E27" s="5" t="n">
        <v>70</v>
      </c>
      <c r="F27" s="5" t="n">
        <v>3</v>
      </c>
      <c r="G27" s="4" t="n">
        <v>26</v>
      </c>
      <c r="H27" s="5">
        <f>IF(OR(F27="",G27=""),"",F27*G27)</f>
        <v/>
      </c>
      <c r="I27" s="6" t="n">
        <v>0.1</v>
      </c>
      <c r="J27" s="5" t="n">
        <v>3</v>
      </c>
      <c r="K27" s="4">
        <f>IF(OR(E27="",I27="",J27=""),"",ROUNDUP((E27*(1+I27))/J27,0))</f>
        <v/>
      </c>
      <c r="L27" s="5">
        <f>IF(OR(J27="",K27=""),"",J27*K27)</f>
        <v/>
      </c>
      <c r="M27" s="4" t="inlineStr">
        <is>
          <t>combined original main framing buckets</t>
        </is>
      </c>
    </row>
    <row r="28">
      <c r="A28" s="4" t="inlineStr">
        <is>
          <t>claude-design-2</t>
        </is>
      </c>
      <c r="B28" s="4" t="inlineStr">
        <is>
          <t>simplified</t>
        </is>
      </c>
      <c r="C28" s="4" t="inlineStr">
        <is>
          <t>secondary timber</t>
        </is>
      </c>
      <c r="D28" s="4" t="inlineStr">
        <is>
          <t>25 x 38 mm</t>
        </is>
      </c>
      <c r="E28" s="5" t="n">
        <v>9</v>
      </c>
      <c r="F28" s="5" t="n">
        <v>3</v>
      </c>
      <c r="G28" s="4" t="n">
        <v>4</v>
      </c>
      <c r="H28" s="5">
        <f>IF(OR(F28="",G28=""),"",F28*G28)</f>
        <v/>
      </c>
      <c r="I28" s="6" t="n">
        <v>0.1</v>
      </c>
      <c r="J28" s="5" t="n">
        <v>3</v>
      </c>
      <c r="K28" s="4">
        <f>IF(OR(E28="",I28="",J28=""),"",ROUNDUP((E28*(1+I28))/J28,0))</f>
        <v/>
      </c>
      <c r="L28" s="5">
        <f>IF(OR(J28="",K28=""),"",J28*K28)</f>
        <v/>
      </c>
      <c r="M28" s="4" t="inlineStr">
        <is>
          <t>reconstructed from explicit batten uses in the design</t>
        </is>
      </c>
    </row>
    <row r="29">
      <c r="A29" s="4" t="inlineStr">
        <is>
          <t>claude-design-3</t>
        </is>
      </c>
      <c r="B29" s="4" t="inlineStr">
        <is>
          <t>original</t>
        </is>
      </c>
      <c r="C29" s="4" t="inlineStr">
        <is>
          <t>main framing</t>
        </is>
      </c>
      <c r="D29" s="4" t="inlineStr">
        <is>
          <t>47 x 47 mm CLS</t>
        </is>
      </c>
      <c r="E29" s="5" t="n">
        <v>22.47</v>
      </c>
      <c r="F29" s="5" t="n">
        <v>3</v>
      </c>
      <c r="G29" s="4" t="n">
        <v>9</v>
      </c>
      <c r="H29" s="5">
        <f>IF(OR(F29="",G29=""),"",F29*G29)</f>
        <v/>
      </c>
      <c r="I29" s="6" t="n">
        <v>0.1</v>
      </c>
      <c r="J29" s="5" t="n">
        <v>3</v>
      </c>
      <c r="K29" s="4">
        <f>IF(OR(E29="",I29="",J29=""),"",ROUNDUP((E29*(1+I29))/J29,0))</f>
        <v/>
      </c>
      <c r="L29" s="5">
        <f>IF(OR(J29="",K29=""),"",J29*K29)</f>
        <v/>
      </c>
      <c r="M29" s="4" t="inlineStr">
        <is>
          <t>uprights plus top rails plus tool rail plus legs</t>
        </is>
      </c>
    </row>
    <row r="30">
      <c r="A30" s="4" t="inlineStr">
        <is>
          <t>claude-design-3</t>
        </is>
      </c>
      <c r="B30" s="4" t="inlineStr">
        <is>
          <t>original</t>
        </is>
      </c>
      <c r="C30" s="4" t="inlineStr">
        <is>
          <t>secondary timber</t>
        </is>
      </c>
      <c r="D30" s="4" t="inlineStr">
        <is>
          <t>25 x 25 mm PAR</t>
        </is>
      </c>
      <c r="E30" s="5" t="n">
        <v>22.8</v>
      </c>
      <c r="F30" s="5" t="n">
        <v>3</v>
      </c>
      <c r="G30" s="4" t="n">
        <v>9</v>
      </c>
      <c r="H30" s="5">
        <f>IF(OR(F30="",G30=""),"",F30*G30)</f>
        <v/>
      </c>
      <c r="I30" s="6" t="n">
        <v>0.1</v>
      </c>
      <c r="J30" s="5" t="n">
        <v>3</v>
      </c>
      <c r="K30" s="4">
        <f>IF(OR(E30="",I30="",J30=""),"",ROUNDUP((E30*(1+I30))/J30,0))</f>
        <v/>
      </c>
      <c r="L30" s="5">
        <f>IF(OR(J30="",K30=""),"",J30*K30)</f>
        <v/>
      </c>
      <c r="M30" s="4" t="inlineStr">
        <is>
          <t>ledger strips plus corner ledgers</t>
        </is>
      </c>
    </row>
    <row r="31">
      <c r="A31" s="4" t="inlineStr">
        <is>
          <t>claude-design-3</t>
        </is>
      </c>
      <c r="B31" s="4" t="inlineStr">
        <is>
          <t>original</t>
        </is>
      </c>
      <c r="C31" s="4" t="inlineStr">
        <is>
          <t>main framing</t>
        </is>
      </c>
      <c r="D31" s="4" t="inlineStr">
        <is>
          <t>47 x 97 mm CLS</t>
        </is>
      </c>
      <c r="E31" s="5" t="n">
        <v>3.6</v>
      </c>
      <c r="F31" s="5" t="n">
        <v>3</v>
      </c>
      <c r="G31" s="4" t="n">
        <v>2</v>
      </c>
      <c r="H31" s="5">
        <f>IF(OR(F31="",G31=""),"",F31*G31)</f>
        <v/>
      </c>
      <c r="I31" s="6" t="n">
        <v>0.1</v>
      </c>
      <c r="J31" s="5" t="n">
        <v>3</v>
      </c>
      <c r="K31" s="4">
        <f>IF(OR(E31="",I31="",J31=""),"",ROUNDUP((E31*(1+I31))/J31,0))</f>
        <v/>
      </c>
      <c r="L31" s="5">
        <f>IF(OR(J31="",K31=""),"",J31*K31)</f>
        <v/>
      </c>
      <c r="M31" s="4" t="inlineStr">
        <is>
          <t>workbench base rails</t>
        </is>
      </c>
    </row>
    <row r="32">
      <c r="A32" s="4" t="inlineStr">
        <is>
          <t>claude-design-3</t>
        </is>
      </c>
      <c r="B32" s="4" t="inlineStr">
        <is>
          <t>original</t>
        </is>
      </c>
      <c r="C32" s="4" t="inlineStr">
        <is>
          <t>secondary timber</t>
        </is>
      </c>
      <c r="D32" s="4" t="inlineStr">
        <is>
          <t>25 x 50 mm PAR</t>
        </is>
      </c>
      <c r="E32" s="5" t="n">
        <v>2.92</v>
      </c>
      <c r="F32" s="5" t="n">
        <v>2.4</v>
      </c>
      <c r="G32" s="4" t="n">
        <v>2</v>
      </c>
      <c r="H32" s="5">
        <f>IF(OR(F32="",G32=""),"",F32*G32)</f>
        <v/>
      </c>
      <c r="I32" s="6" t="n">
        <v>0.1</v>
      </c>
      <c r="J32" s="5" t="n">
        <v>2.4</v>
      </c>
      <c r="K32" s="4">
        <f>IF(OR(E32="",I32="",J32=""),"",ROUNDUP((E32*(1+I32))/J32,0))</f>
        <v/>
      </c>
      <c r="L32" s="5">
        <f>IF(OR(J32="",K32=""),"",J32*K32)</f>
        <v/>
      </c>
      <c r="M32" s="4" t="inlineStr">
        <is>
          <t>tool-board standoff battens</t>
        </is>
      </c>
    </row>
    <row r="33">
      <c r="A33" s="4" t="inlineStr">
        <is>
          <t>claude-design-3</t>
        </is>
      </c>
      <c r="B33" s="4" t="inlineStr">
        <is>
          <t>simplified</t>
        </is>
      </c>
      <c r="C33" s="4" t="inlineStr">
        <is>
          <t>main framing</t>
        </is>
      </c>
      <c r="D33" s="4" t="inlineStr">
        <is>
          <t>38 x 63 mm CLS</t>
        </is>
      </c>
      <c r="E33" s="5" t="n">
        <v>26.05</v>
      </c>
      <c r="F33" s="5" t="n">
        <v>3</v>
      </c>
      <c r="G33" s="4" t="n">
        <v>10</v>
      </c>
      <c r="H33" s="5">
        <f>IF(OR(F33="",G33=""),"",F33*G33)</f>
        <v/>
      </c>
      <c r="I33" s="6" t="n">
        <v>0.1</v>
      </c>
      <c r="J33" s="5" t="n">
        <v>3</v>
      </c>
      <c r="K33" s="4">
        <f>IF(OR(E33="",I33="",J33=""),"",ROUNDUP((E33*(1+I33))/J33,0))</f>
        <v/>
      </c>
      <c r="L33" s="5">
        <f>IF(OR(J33="",K33=""),"",J33*K33)</f>
        <v/>
      </c>
      <c r="M33" s="4" t="inlineStr">
        <is>
          <t>simplified common spec</t>
        </is>
      </c>
    </row>
    <row r="34">
      <c r="A34" s="4" t="inlineStr">
        <is>
          <t>claude-design-3</t>
        </is>
      </c>
      <c r="B34" s="4" t="inlineStr">
        <is>
          <t>simplified</t>
        </is>
      </c>
      <c r="C34" s="4" t="inlineStr">
        <is>
          <t>secondary timber</t>
        </is>
      </c>
      <c r="D34" s="4" t="inlineStr">
        <is>
          <t>25 x 38 mm</t>
        </is>
      </c>
      <c r="E34" s="5" t="n">
        <v>25.72</v>
      </c>
      <c r="F34" s="5" t="n">
        <v>3</v>
      </c>
      <c r="G34" s="4" t="n">
        <v>10</v>
      </c>
      <c r="H34" s="5">
        <f>IF(OR(F34="",G34=""),"",F34*G34)</f>
        <v/>
      </c>
      <c r="I34" s="6" t="n">
        <v>0.1</v>
      </c>
      <c r="J34" s="5" t="n">
        <v>3</v>
      </c>
      <c r="K34" s="4">
        <f>IF(OR(E34="",I34="",J34=""),"",ROUNDUP((E34*(1+I34))/J34,0))</f>
        <v/>
      </c>
      <c r="L34" s="5">
        <f>IF(OR(J34="",K34=""),"",J34*K34)</f>
        <v/>
      </c>
      <c r="M34" s="4" t="inlineStr">
        <is>
          <t>simplified common spec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2" customWidth="1" min="3" max="3"/>
    <col width="16" customWidth="1" min="4" max="4"/>
    <col width="18" customWidth="1" min="5" max="5"/>
    <col width="22" customWidth="1" min="6" max="6"/>
    <col width="18" customWidth="1" min="7" max="7"/>
    <col width="44" customWidth="1" min="8" max="8"/>
  </cols>
  <sheetData>
    <row r="1">
      <c r="A1" s="1" t="inlineStr">
        <is>
          <t>Sheet Goods Rows</t>
        </is>
      </c>
    </row>
    <row r="3">
      <c r="A3" s="3" t="inlineStr">
        <is>
          <t>Design</t>
        </is>
      </c>
      <c r="B3" s="3" t="inlineStr">
        <is>
          <t>Version</t>
        </is>
      </c>
      <c r="C3" s="3" t="inlineStr">
        <is>
          <t>Material</t>
        </is>
      </c>
      <c r="D3" s="3" t="inlineStr">
        <is>
          <t>Calculated sheets</t>
        </is>
      </c>
      <c r="E3" s="3" t="inlineStr">
        <is>
          <t>Safety extra sheets</t>
        </is>
      </c>
      <c r="F3" s="3" t="inlineStr">
        <is>
          <t>Source / working buy sheets</t>
        </is>
      </c>
      <c r="G3" s="3" t="inlineStr">
        <is>
          <t>Model buy sheets</t>
        </is>
      </c>
      <c r="H3" s="3" t="inlineStr">
        <is>
          <t>Notes</t>
        </is>
      </c>
    </row>
    <row r="4">
      <c r="A4" s="4" t="inlineStr">
        <is>
          <t>chatgpt-design-1</t>
        </is>
      </c>
      <c r="B4" s="4" t="inlineStr">
        <is>
          <t>original</t>
        </is>
      </c>
      <c r="C4" s="4" t="inlineStr">
        <is>
          <t>18 mm plywood / OSB3</t>
        </is>
      </c>
      <c r="D4" s="4" t="n">
        <v>4</v>
      </c>
      <c r="E4" s="4" t="n">
        <v>0</v>
      </c>
      <c r="F4" s="4">
        <f>ROUNDUP(D4+E4,0)</f>
        <v/>
      </c>
      <c r="G4" s="4">
        <f>ROUNDUP(D4+E4,0)</f>
        <v/>
      </c>
      <c r="H4" s="4" t="inlineStr">
        <is>
          <t>source design</t>
        </is>
      </c>
    </row>
    <row r="5">
      <c r="A5" s="4" t="inlineStr">
        <is>
          <t>chatgpt-design-1</t>
        </is>
      </c>
      <c r="B5" s="4" t="inlineStr">
        <is>
          <t>original</t>
        </is>
      </c>
      <c r="C5" s="4" t="inlineStr">
        <is>
          <t>12 mm plywood / OSB3</t>
        </is>
      </c>
      <c r="D5" s="4" t="n">
        <v>2</v>
      </c>
      <c r="E5" s="4" t="n">
        <v>0</v>
      </c>
      <c r="F5" s="4">
        <f>ROUNDUP(D5+E5,0)</f>
        <v/>
      </c>
      <c r="G5" s="4">
        <f>ROUNDUP(D5+E5,0)</f>
        <v/>
      </c>
      <c r="H5" s="4" t="inlineStr">
        <is>
          <t>source design</t>
        </is>
      </c>
    </row>
    <row r="6">
      <c r="A6" s="4" t="inlineStr">
        <is>
          <t>chatgpt-design-1</t>
        </is>
      </c>
      <c r="B6" s="4" t="inlineStr">
        <is>
          <t>simplified</t>
        </is>
      </c>
      <c r="C6" s="4" t="inlineStr">
        <is>
          <t>18 mm structural plywood</t>
        </is>
      </c>
      <c r="D6" s="4" t="n">
        <v>6</v>
      </c>
      <c r="E6" s="4" t="n">
        <v>0</v>
      </c>
      <c r="F6" s="4">
        <f>ROUNDUP(D6+E6,0)</f>
        <v/>
      </c>
      <c r="G6" s="4">
        <f>ROUNDUP(D6+E6,0)</f>
        <v/>
      </c>
      <c r="H6" s="4" t="inlineStr">
        <is>
          <t>all sheet goods collapsed to 18 mm ply</t>
        </is>
      </c>
    </row>
    <row r="7">
      <c r="A7" s="4" t="inlineStr">
        <is>
          <t>chatgpt-design-2</t>
        </is>
      </c>
      <c r="B7" s="4" t="inlineStr">
        <is>
          <t>original</t>
        </is>
      </c>
      <c r="C7" s="4" t="inlineStr">
        <is>
          <t>18 mm plywood</t>
        </is>
      </c>
      <c r="D7" s="4" t="n">
        <v>4</v>
      </c>
      <c r="E7" s="4" t="n">
        <v>1</v>
      </c>
      <c r="F7" s="4">
        <f>ROUNDUP(D7+E7,0)</f>
        <v/>
      </c>
      <c r="G7" s="4">
        <f>ROUNDUP(D7+E7,0)</f>
        <v/>
      </c>
      <c r="H7" s="4" t="inlineStr">
        <is>
          <t>source design says 4 minimum, 5 safer</t>
        </is>
      </c>
    </row>
    <row r="8">
      <c r="A8" s="4" t="inlineStr">
        <is>
          <t>chatgpt-design-2</t>
        </is>
      </c>
      <c r="B8" s="4" t="inlineStr">
        <is>
          <t>original</t>
        </is>
      </c>
      <c r="C8" s="4" t="inlineStr">
        <is>
          <t>12 mm plywood or OSB3</t>
        </is>
      </c>
      <c r="D8" s="4" t="n">
        <v>2</v>
      </c>
      <c r="E8" s="4" t="n">
        <v>0</v>
      </c>
      <c r="F8" s="4">
        <f>ROUNDUP(D8+E8,0)</f>
        <v/>
      </c>
      <c r="G8" s="4">
        <f>ROUNDUP(D8+E8,0)</f>
        <v/>
      </c>
      <c r="H8" s="4" t="inlineStr">
        <is>
          <t>source design</t>
        </is>
      </c>
    </row>
    <row r="9">
      <c r="A9" s="4" t="inlineStr">
        <is>
          <t>chatgpt-design-2</t>
        </is>
      </c>
      <c r="B9" s="4" t="inlineStr">
        <is>
          <t>simplified</t>
        </is>
      </c>
      <c r="C9" s="4" t="inlineStr">
        <is>
          <t>18 mm structural plywood</t>
        </is>
      </c>
      <c r="D9" s="4" t="n">
        <v>6</v>
      </c>
      <c r="E9" s="4" t="n">
        <v>1</v>
      </c>
      <c r="F9" s="4">
        <f>ROUNDUP(D9+E9,0)</f>
        <v/>
      </c>
      <c r="G9" s="4">
        <f>ROUNDUP(D9+E9,0)</f>
        <v/>
      </c>
      <c r="H9" s="4" t="inlineStr">
        <is>
          <t>6 minimum, 7 safer</t>
        </is>
      </c>
    </row>
    <row r="10">
      <c r="A10" s="4" t="inlineStr">
        <is>
          <t>chatgpt-design-3</t>
        </is>
      </c>
      <c r="B10" s="4" t="inlineStr">
        <is>
          <t>original</t>
        </is>
      </c>
      <c r="C10" s="4" t="inlineStr">
        <is>
          <t>18 mm plywood</t>
        </is>
      </c>
      <c r="D10" s="4" t="n">
        <v>4</v>
      </c>
      <c r="E10" s="4" t="n">
        <v>0</v>
      </c>
      <c r="F10" s="4">
        <f>ROUNDUP(D10+E10,0)</f>
        <v/>
      </c>
      <c r="G10" s="4">
        <f>ROUNDUP(D10+E10,0)</f>
        <v/>
      </c>
      <c r="H10" s="4" t="inlineStr">
        <is>
          <t>source design</t>
        </is>
      </c>
    </row>
    <row r="11">
      <c r="A11" s="4" t="inlineStr">
        <is>
          <t>chatgpt-design-3</t>
        </is>
      </c>
      <c r="B11" s="4" t="inlineStr">
        <is>
          <t>original</t>
        </is>
      </c>
      <c r="C11" s="4" t="inlineStr">
        <is>
          <t>18 mm OSB3 or extra plywood</t>
        </is>
      </c>
      <c r="D11" s="4" t="n">
        <v>2</v>
      </c>
      <c r="E11" s="4" t="n">
        <v>0</v>
      </c>
      <c r="F11" s="4">
        <f>ROUNDUP(D11+E11,0)</f>
        <v/>
      </c>
      <c r="G11" s="4">
        <f>ROUNDUP(D11+E11,0)</f>
        <v/>
      </c>
      <c r="H11" s="4" t="inlineStr">
        <is>
          <t>source design</t>
        </is>
      </c>
    </row>
    <row r="12">
      <c r="A12" s="4" t="inlineStr">
        <is>
          <t>chatgpt-design-3</t>
        </is>
      </c>
      <c r="B12" s="4" t="inlineStr">
        <is>
          <t>original</t>
        </is>
      </c>
      <c r="C12" s="4" t="inlineStr">
        <is>
          <t>12 mm plywood</t>
        </is>
      </c>
      <c r="D12" s="4" t="n">
        <v>1</v>
      </c>
      <c r="E12" s="4" t="n">
        <v>1</v>
      </c>
      <c r="F12" s="4">
        <f>ROUNDUP(D12+E12,0)</f>
        <v/>
      </c>
      <c r="G12" s="4">
        <f>ROUNDUP(D12+E12,0)</f>
        <v/>
      </c>
      <c r="H12" s="4" t="inlineStr">
        <is>
          <t>source design says 1 to 2 sheets</t>
        </is>
      </c>
    </row>
    <row r="13">
      <c r="A13" s="4" t="inlineStr">
        <is>
          <t>chatgpt-design-3</t>
        </is>
      </c>
      <c r="B13" s="4" t="inlineStr">
        <is>
          <t>simplified</t>
        </is>
      </c>
      <c r="C13" s="4" t="inlineStr">
        <is>
          <t>18 mm structural plywood</t>
        </is>
      </c>
      <c r="D13" s="4" t="n">
        <v>7</v>
      </c>
      <c r="E13" s="4" t="n">
        <v>1</v>
      </c>
      <c r="F13" s="4">
        <f>ROUNDUP(D13+E13,0)</f>
        <v/>
      </c>
      <c r="G13" s="4">
        <f>ROUNDUP(D13+E13,0)</f>
        <v/>
      </c>
      <c r="H13" s="4" t="inlineStr">
        <is>
          <t>7 minimum, 8 safer</t>
        </is>
      </c>
    </row>
    <row r="14">
      <c r="A14" s="4" t="inlineStr">
        <is>
          <t>claude-design-1</t>
        </is>
      </c>
      <c r="B14" s="4" t="inlineStr">
        <is>
          <t>original</t>
        </is>
      </c>
      <c r="C14" s="4" t="inlineStr">
        <is>
          <t>18 mm structural plywood</t>
        </is>
      </c>
      <c r="D14" s="4" t="n">
        <v>8</v>
      </c>
      <c r="E14" s="4" t="n">
        <v>0</v>
      </c>
      <c r="F14" s="4">
        <f>ROUNDUP(D14+E14,0)</f>
        <v/>
      </c>
      <c r="G14" s="4">
        <f>ROUNDUP(D14+E14,0)</f>
        <v/>
      </c>
      <c r="H14" s="4" t="inlineStr">
        <is>
          <t>source design</t>
        </is>
      </c>
    </row>
    <row r="15">
      <c r="A15" s="4" t="inlineStr">
        <is>
          <t>claude-design-1</t>
        </is>
      </c>
      <c r="B15" s="4" t="inlineStr">
        <is>
          <t>original</t>
        </is>
      </c>
      <c r="C15" s="4" t="inlineStr">
        <is>
          <t>12 mm birch plywood</t>
        </is>
      </c>
      <c r="D15" s="4" t="n">
        <v>1</v>
      </c>
      <c r="E15" s="4" t="n">
        <v>0</v>
      </c>
      <c r="F15" s="4">
        <f>ROUNDUP(D15+E15,0)</f>
        <v/>
      </c>
      <c r="G15" s="4">
        <f>ROUNDUP(D15+E15,0)</f>
        <v/>
      </c>
      <c r="H15" s="4" t="inlineStr">
        <is>
          <t>source design</t>
        </is>
      </c>
    </row>
    <row r="16">
      <c r="A16" s="4" t="inlineStr">
        <is>
          <t>claude-design-1</t>
        </is>
      </c>
      <c r="B16" s="4" t="inlineStr">
        <is>
          <t>original</t>
        </is>
      </c>
      <c r="C16" s="4" t="inlineStr">
        <is>
          <t>18 mm OSB/3</t>
        </is>
      </c>
      <c r="D16" s="4" t="n">
        <v>2</v>
      </c>
      <c r="E16" s="4" t="n">
        <v>0</v>
      </c>
      <c r="F16" s="4">
        <f>ROUNDUP(D16+E16,0)</f>
        <v/>
      </c>
      <c r="G16" s="4">
        <f>ROUNDUP(D16+E16,0)</f>
        <v/>
      </c>
      <c r="H16" s="4" t="inlineStr">
        <is>
          <t>source design</t>
        </is>
      </c>
    </row>
    <row r="17">
      <c r="A17" s="4" t="inlineStr">
        <is>
          <t>claude-design-1</t>
        </is>
      </c>
      <c r="B17" s="4" t="inlineStr">
        <is>
          <t>original</t>
        </is>
      </c>
      <c r="C17" s="4" t="inlineStr">
        <is>
          <t>contingency sheet</t>
        </is>
      </c>
      <c r="D17" s="4" t="n">
        <v>11</v>
      </c>
      <c r="E17" s="4" t="n">
        <v>1</v>
      </c>
      <c r="F17" s="4">
        <f>ROUNDUP(D17+E17,0)</f>
        <v/>
      </c>
      <c r="G17" s="4">
        <f>ROUNDUP(D17+E17,0)</f>
        <v/>
      </c>
      <c r="H17" s="4" t="inlineStr">
        <is>
          <t>source design says 11 sheets plus 1 contingency</t>
        </is>
      </c>
    </row>
    <row r="18">
      <c r="A18" s="4" t="inlineStr">
        <is>
          <t>claude-design-1</t>
        </is>
      </c>
      <c r="B18" s="4" t="inlineStr">
        <is>
          <t>simplified</t>
        </is>
      </c>
      <c r="C18" s="4" t="inlineStr">
        <is>
          <t>18 mm structural plywood</t>
        </is>
      </c>
      <c r="D18" s="4" t="n">
        <v>11</v>
      </c>
      <c r="E18" s="4" t="n">
        <v>1</v>
      </c>
      <c r="F18" s="4">
        <f>ROUNDUP(D18+E18,0)</f>
        <v/>
      </c>
      <c r="G18" s="4">
        <f>ROUNDUP(D18+E18,0)</f>
        <v/>
      </c>
      <c r="H18" s="4" t="inlineStr">
        <is>
          <t>11 sheets plus original contingency</t>
        </is>
      </c>
    </row>
    <row r="19">
      <c r="A19" s="4" t="inlineStr">
        <is>
          <t>claude-design-2</t>
        </is>
      </c>
      <c r="B19" s="4" t="inlineStr">
        <is>
          <t>original</t>
        </is>
      </c>
      <c r="C19" s="4" t="inlineStr">
        <is>
          <t>18 mm OSB/3</t>
        </is>
      </c>
      <c r="D19" s="4" t="n">
        <v>7</v>
      </c>
      <c r="E19" s="4" t="n">
        <v>0</v>
      </c>
      <c r="F19" s="4">
        <f>ROUNDUP(D19+E19,0)</f>
        <v/>
      </c>
      <c r="G19" s="4">
        <f>ROUNDUP(D19+E19,0)</f>
        <v/>
      </c>
      <c r="H19" s="4" t="inlineStr">
        <is>
          <t>source design</t>
        </is>
      </c>
    </row>
    <row r="20">
      <c r="A20" s="4" t="inlineStr">
        <is>
          <t>claude-design-2</t>
        </is>
      </c>
      <c r="B20" s="4" t="inlineStr">
        <is>
          <t>original</t>
        </is>
      </c>
      <c r="C20" s="4" t="inlineStr">
        <is>
          <t>18 mm birch plywood</t>
        </is>
      </c>
      <c r="D20" s="4" t="n">
        <v>2</v>
      </c>
      <c r="E20" s="4" t="n">
        <v>0</v>
      </c>
      <c r="F20" s="4">
        <f>ROUNDUP(D20+E20,0)</f>
        <v/>
      </c>
      <c r="G20" s="4">
        <f>ROUNDUP(D20+E20,0)</f>
        <v/>
      </c>
      <c r="H20" s="4" t="inlineStr">
        <is>
          <t>source design</t>
        </is>
      </c>
    </row>
    <row r="21">
      <c r="A21" s="4" t="inlineStr">
        <is>
          <t>claude-design-2</t>
        </is>
      </c>
      <c r="B21" s="4" t="inlineStr">
        <is>
          <t>simplified</t>
        </is>
      </c>
      <c r="C21" s="4" t="inlineStr">
        <is>
          <t>18 mm structural plywood</t>
        </is>
      </c>
      <c r="D21" s="4" t="n">
        <v>9</v>
      </c>
      <c r="E21" s="4" t="n">
        <v>0</v>
      </c>
      <c r="F21" s="4">
        <f>ROUNDUP(D21+E21,0)</f>
        <v/>
      </c>
      <c r="G21" s="4">
        <f>ROUNDUP(D21+E21,0)</f>
        <v/>
      </c>
      <c r="H21" s="4" t="inlineStr">
        <is>
          <t>all sheets collapsed to 18 mm ply</t>
        </is>
      </c>
    </row>
    <row r="22">
      <c r="A22" s="4" t="inlineStr">
        <is>
          <t>claude-design-3</t>
        </is>
      </c>
      <c r="B22" s="4" t="inlineStr">
        <is>
          <t>original</t>
        </is>
      </c>
      <c r="C22" s="4" t="inlineStr">
        <is>
          <t>18 mm structural plywood</t>
        </is>
      </c>
      <c r="D22" s="4" t="n">
        <v>6</v>
      </c>
      <c r="E22" s="4" t="n">
        <v>0</v>
      </c>
      <c r="F22" s="4">
        <f>ROUNDUP(D22+E22,0)</f>
        <v/>
      </c>
      <c r="G22" s="4">
        <f>ROUNDUP(D22+E22,0)</f>
        <v/>
      </c>
      <c r="H22" s="4" t="inlineStr">
        <is>
          <t>source design</t>
        </is>
      </c>
    </row>
    <row r="23">
      <c r="A23" s="4" t="inlineStr">
        <is>
          <t>claude-design-3</t>
        </is>
      </c>
      <c r="B23" s="4" t="inlineStr">
        <is>
          <t>original</t>
        </is>
      </c>
      <c r="C23" s="4" t="inlineStr">
        <is>
          <t>12 mm plywood</t>
        </is>
      </c>
      <c r="D23" s="4" t="n">
        <v>1</v>
      </c>
      <c r="E23" s="4" t="n">
        <v>0</v>
      </c>
      <c r="F23" s="4">
        <f>ROUNDUP(D23+E23,0)</f>
        <v/>
      </c>
      <c r="G23" s="4">
        <f>ROUNDUP(D23+E23,0)</f>
        <v/>
      </c>
      <c r="H23" s="4" t="inlineStr">
        <is>
          <t>source design</t>
        </is>
      </c>
    </row>
    <row r="24">
      <c r="A24" s="4" t="inlineStr">
        <is>
          <t>claude-design-3</t>
        </is>
      </c>
      <c r="B24" s="4" t="inlineStr">
        <is>
          <t>simplified</t>
        </is>
      </c>
      <c r="C24" s="4" t="inlineStr">
        <is>
          <t>18 mm structural plywood</t>
        </is>
      </c>
      <c r="D24" s="4" t="n">
        <v>7</v>
      </c>
      <c r="E24" s="4" t="n">
        <v>0</v>
      </c>
      <c r="F24" s="4">
        <f>ROUNDUP(D24+E24,0)</f>
        <v/>
      </c>
      <c r="G24" s="4">
        <f>ROUNDUP(D24+E24,0)</f>
        <v/>
      </c>
      <c r="H24" s="4" t="inlineStr">
        <is>
          <t>all sheet goods collapsed to 18 mm ply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>
      <c r="A1" s="1" t="inlineStr">
        <is>
          <t>Design Summary</t>
        </is>
      </c>
    </row>
    <row r="3">
      <c r="A3" s="3" t="inlineStr">
        <is>
          <t>Design</t>
        </is>
      </c>
      <c r="B3" s="3" t="inlineStr">
        <is>
          <t>Version</t>
        </is>
      </c>
      <c r="C3" s="3" t="inlineStr">
        <is>
          <t>Source timber buy m</t>
        </is>
      </c>
      <c r="D3" s="3" t="inlineStr">
        <is>
          <t>Model timber buy m</t>
        </is>
      </c>
      <c r="E3" s="3" t="inlineStr">
        <is>
          <t>Source / working buy sheets</t>
        </is>
      </c>
      <c r="F3" s="3" t="inlineStr">
        <is>
          <t>Model buy sheets</t>
        </is>
      </c>
    </row>
    <row r="4">
      <c r="A4" s="4" t="inlineStr">
        <is>
          <t>chatgpt-design-1</t>
        </is>
      </c>
      <c r="B4" s="4" t="inlineStr">
        <is>
          <t>original</t>
        </is>
      </c>
      <c r="C4" s="5">
        <f>SUMIFS('Timber Rows'!$H:$H,'Timber Rows'!$A:$A,A4,'Timber Rows'!$B:$B,B4)</f>
        <v/>
      </c>
      <c r="D4" s="5">
        <f>SUMIFS('Timber Rows'!$L:$L,'Timber Rows'!$A:$A,A4,'Timber Rows'!$B:$B,B4)</f>
        <v/>
      </c>
      <c r="E4" s="4">
        <f>SUMIFS('Sheet Rows'!$F:$F,'Sheet Rows'!$A:$A,A4,'Sheet Rows'!$B:$B,B4)</f>
        <v/>
      </c>
      <c r="F4" s="4">
        <f>SUMIFS('Sheet Rows'!$G:$G,'Sheet Rows'!$A:$A,A4,'Sheet Rows'!$B:$B,B4)</f>
        <v/>
      </c>
    </row>
    <row r="5">
      <c r="A5" s="4" t="inlineStr">
        <is>
          <t>chatgpt-design-1</t>
        </is>
      </c>
      <c r="B5" s="4" t="inlineStr">
        <is>
          <t>simplified</t>
        </is>
      </c>
      <c r="C5" s="5">
        <f>SUMIFS('Timber Rows'!$H:$H,'Timber Rows'!$A:$A,A5,'Timber Rows'!$B:$B,B5)</f>
        <v/>
      </c>
      <c r="D5" s="5">
        <f>SUMIFS('Timber Rows'!$L:$L,'Timber Rows'!$A:$A,A5,'Timber Rows'!$B:$B,B5)</f>
        <v/>
      </c>
      <c r="E5" s="4">
        <f>SUMIFS('Sheet Rows'!$F:$F,'Sheet Rows'!$A:$A,A5,'Sheet Rows'!$B:$B,B5)</f>
        <v/>
      </c>
      <c r="F5" s="4">
        <f>SUMIFS('Sheet Rows'!$G:$G,'Sheet Rows'!$A:$A,A5,'Sheet Rows'!$B:$B,B5)</f>
        <v/>
      </c>
    </row>
    <row r="6">
      <c r="A6" s="4" t="inlineStr">
        <is>
          <t>chatgpt-design-2</t>
        </is>
      </c>
      <c r="B6" s="4" t="inlineStr">
        <is>
          <t>original</t>
        </is>
      </c>
      <c r="C6" s="5">
        <f>SUMIFS('Timber Rows'!$H:$H,'Timber Rows'!$A:$A,A6,'Timber Rows'!$B:$B,B6)</f>
        <v/>
      </c>
      <c r="D6" s="5">
        <f>SUMIFS('Timber Rows'!$L:$L,'Timber Rows'!$A:$A,A6,'Timber Rows'!$B:$B,B6)</f>
        <v/>
      </c>
      <c r="E6" s="4">
        <f>SUMIFS('Sheet Rows'!$F:$F,'Sheet Rows'!$A:$A,A6,'Sheet Rows'!$B:$B,B6)</f>
        <v/>
      </c>
      <c r="F6" s="4">
        <f>SUMIFS('Sheet Rows'!$G:$G,'Sheet Rows'!$A:$A,A6,'Sheet Rows'!$B:$B,B6)</f>
        <v/>
      </c>
    </row>
    <row r="7">
      <c r="A7" s="4" t="inlineStr">
        <is>
          <t>chatgpt-design-2</t>
        </is>
      </c>
      <c r="B7" s="4" t="inlineStr">
        <is>
          <t>simplified</t>
        </is>
      </c>
      <c r="C7" s="5">
        <f>SUMIFS('Timber Rows'!$H:$H,'Timber Rows'!$A:$A,A7,'Timber Rows'!$B:$B,B7)</f>
        <v/>
      </c>
      <c r="D7" s="5">
        <f>SUMIFS('Timber Rows'!$L:$L,'Timber Rows'!$A:$A,A7,'Timber Rows'!$B:$B,B7)</f>
        <v/>
      </c>
      <c r="E7" s="4">
        <f>SUMIFS('Sheet Rows'!$F:$F,'Sheet Rows'!$A:$A,A7,'Sheet Rows'!$B:$B,B7)</f>
        <v/>
      </c>
      <c r="F7" s="4">
        <f>SUMIFS('Sheet Rows'!$G:$G,'Sheet Rows'!$A:$A,A7,'Sheet Rows'!$B:$B,B7)</f>
        <v/>
      </c>
    </row>
    <row r="8">
      <c r="A8" s="4" t="inlineStr">
        <is>
          <t>chatgpt-design-3</t>
        </is>
      </c>
      <c r="B8" s="4" t="inlineStr">
        <is>
          <t>original</t>
        </is>
      </c>
      <c r="C8" s="5">
        <f>SUMIFS('Timber Rows'!$H:$H,'Timber Rows'!$A:$A,A8,'Timber Rows'!$B:$B,B8)</f>
        <v/>
      </c>
      <c r="D8" s="5">
        <f>SUMIFS('Timber Rows'!$L:$L,'Timber Rows'!$A:$A,A8,'Timber Rows'!$B:$B,B8)</f>
        <v/>
      </c>
      <c r="E8" s="4">
        <f>SUMIFS('Sheet Rows'!$F:$F,'Sheet Rows'!$A:$A,A8,'Sheet Rows'!$B:$B,B8)</f>
        <v/>
      </c>
      <c r="F8" s="4">
        <f>SUMIFS('Sheet Rows'!$G:$G,'Sheet Rows'!$A:$A,A8,'Sheet Rows'!$B:$B,B8)</f>
        <v/>
      </c>
    </row>
    <row r="9">
      <c r="A9" s="4" t="inlineStr">
        <is>
          <t>chatgpt-design-3</t>
        </is>
      </c>
      <c r="B9" s="4" t="inlineStr">
        <is>
          <t>simplified</t>
        </is>
      </c>
      <c r="C9" s="5">
        <f>SUMIFS('Timber Rows'!$H:$H,'Timber Rows'!$A:$A,A9,'Timber Rows'!$B:$B,B9)</f>
        <v/>
      </c>
      <c r="D9" s="5">
        <f>SUMIFS('Timber Rows'!$L:$L,'Timber Rows'!$A:$A,A9,'Timber Rows'!$B:$B,B9)</f>
        <v/>
      </c>
      <c r="E9" s="4">
        <f>SUMIFS('Sheet Rows'!$F:$F,'Sheet Rows'!$A:$A,A9,'Sheet Rows'!$B:$B,B9)</f>
        <v/>
      </c>
      <c r="F9" s="4">
        <f>SUMIFS('Sheet Rows'!$G:$G,'Sheet Rows'!$A:$A,A9,'Sheet Rows'!$B:$B,B9)</f>
        <v/>
      </c>
    </row>
    <row r="10">
      <c r="A10" s="4" t="inlineStr">
        <is>
          <t>claude-design-1</t>
        </is>
      </c>
      <c r="B10" s="4" t="inlineStr">
        <is>
          <t>original</t>
        </is>
      </c>
      <c r="C10" s="5">
        <f>SUMIFS('Timber Rows'!$H:$H,'Timber Rows'!$A:$A,A10,'Timber Rows'!$B:$B,B10)</f>
        <v/>
      </c>
      <c r="D10" s="5">
        <f>SUMIFS('Timber Rows'!$L:$L,'Timber Rows'!$A:$A,A10,'Timber Rows'!$B:$B,B10)</f>
        <v/>
      </c>
      <c r="E10" s="4">
        <f>SUMIFS('Sheet Rows'!$F:$F,'Sheet Rows'!$A:$A,A10,'Sheet Rows'!$B:$B,B10)</f>
        <v/>
      </c>
      <c r="F10" s="4">
        <f>SUMIFS('Sheet Rows'!$G:$G,'Sheet Rows'!$A:$A,A10,'Sheet Rows'!$B:$B,B10)</f>
        <v/>
      </c>
    </row>
    <row r="11">
      <c r="A11" s="4" t="inlineStr">
        <is>
          <t>claude-design-1</t>
        </is>
      </c>
      <c r="B11" s="4" t="inlineStr">
        <is>
          <t>simplified</t>
        </is>
      </c>
      <c r="C11" s="5">
        <f>SUMIFS('Timber Rows'!$H:$H,'Timber Rows'!$A:$A,A11,'Timber Rows'!$B:$B,B11)</f>
        <v/>
      </c>
      <c r="D11" s="5">
        <f>SUMIFS('Timber Rows'!$L:$L,'Timber Rows'!$A:$A,A11,'Timber Rows'!$B:$B,B11)</f>
        <v/>
      </c>
      <c r="E11" s="4">
        <f>SUMIFS('Sheet Rows'!$F:$F,'Sheet Rows'!$A:$A,A11,'Sheet Rows'!$B:$B,B11)</f>
        <v/>
      </c>
      <c r="F11" s="4">
        <f>SUMIFS('Sheet Rows'!$G:$G,'Sheet Rows'!$A:$A,A11,'Sheet Rows'!$B:$B,B11)</f>
        <v/>
      </c>
    </row>
    <row r="12">
      <c r="A12" s="4" t="inlineStr">
        <is>
          <t>claude-design-2</t>
        </is>
      </c>
      <c r="B12" s="4" t="inlineStr">
        <is>
          <t>original</t>
        </is>
      </c>
      <c r="C12" s="5">
        <f>SUMIFS('Timber Rows'!$H:$H,'Timber Rows'!$A:$A,A12,'Timber Rows'!$B:$B,B12)</f>
        <v/>
      </c>
      <c r="D12" s="5">
        <f>SUMIFS('Timber Rows'!$L:$L,'Timber Rows'!$A:$A,A12,'Timber Rows'!$B:$B,B12)</f>
        <v/>
      </c>
      <c r="E12" s="4">
        <f>SUMIFS('Sheet Rows'!$F:$F,'Sheet Rows'!$A:$A,A12,'Sheet Rows'!$B:$B,B12)</f>
        <v/>
      </c>
      <c r="F12" s="4">
        <f>SUMIFS('Sheet Rows'!$G:$G,'Sheet Rows'!$A:$A,A12,'Sheet Rows'!$B:$B,B12)</f>
        <v/>
      </c>
    </row>
    <row r="13">
      <c r="A13" s="4" t="inlineStr">
        <is>
          <t>claude-design-2</t>
        </is>
      </c>
      <c r="B13" s="4" t="inlineStr">
        <is>
          <t>simplified</t>
        </is>
      </c>
      <c r="C13" s="5">
        <f>SUMIFS('Timber Rows'!$H:$H,'Timber Rows'!$A:$A,A13,'Timber Rows'!$B:$B,B13)</f>
        <v/>
      </c>
      <c r="D13" s="5">
        <f>SUMIFS('Timber Rows'!$L:$L,'Timber Rows'!$A:$A,A13,'Timber Rows'!$B:$B,B13)</f>
        <v/>
      </c>
      <c r="E13" s="4">
        <f>SUMIFS('Sheet Rows'!$F:$F,'Sheet Rows'!$A:$A,A13,'Sheet Rows'!$B:$B,B13)</f>
        <v/>
      </c>
      <c r="F13" s="4">
        <f>SUMIFS('Sheet Rows'!$G:$G,'Sheet Rows'!$A:$A,A13,'Sheet Rows'!$B:$B,B13)</f>
        <v/>
      </c>
    </row>
    <row r="14">
      <c r="A14" s="4" t="inlineStr">
        <is>
          <t>claude-design-3</t>
        </is>
      </c>
      <c r="B14" s="4" t="inlineStr">
        <is>
          <t>original</t>
        </is>
      </c>
      <c r="C14" s="5">
        <f>SUMIFS('Timber Rows'!$H:$H,'Timber Rows'!$A:$A,A14,'Timber Rows'!$B:$B,B14)</f>
        <v/>
      </c>
      <c r="D14" s="5">
        <f>SUMIFS('Timber Rows'!$L:$L,'Timber Rows'!$A:$A,A14,'Timber Rows'!$B:$B,B14)</f>
        <v/>
      </c>
      <c r="E14" s="4">
        <f>SUMIFS('Sheet Rows'!$F:$F,'Sheet Rows'!$A:$A,A14,'Sheet Rows'!$B:$B,B14)</f>
        <v/>
      </c>
      <c r="F14" s="4">
        <f>SUMIFS('Sheet Rows'!$G:$G,'Sheet Rows'!$A:$A,A14,'Sheet Rows'!$B:$B,B14)</f>
        <v/>
      </c>
    </row>
    <row r="15">
      <c r="A15" s="4" t="inlineStr">
        <is>
          <t>claude-design-3</t>
        </is>
      </c>
      <c r="B15" s="4" t="inlineStr">
        <is>
          <t>simplified</t>
        </is>
      </c>
      <c r="C15" s="5">
        <f>SUMIFS('Timber Rows'!$H:$H,'Timber Rows'!$A:$A,A15,'Timber Rows'!$B:$B,B15)</f>
        <v/>
      </c>
      <c r="D15" s="5">
        <f>SUMIFS('Timber Rows'!$L:$L,'Timber Rows'!$A:$A,A15,'Timber Rows'!$B:$B,B15)</f>
        <v/>
      </c>
      <c r="E15" s="4">
        <f>SUMIFS('Sheet Rows'!$F:$F,'Sheet Rows'!$A:$A,A15,'Sheet Rows'!$B:$B,B15)</f>
        <v/>
      </c>
      <c r="F15" s="4">
        <f>SUMIFS('Sheet Rows'!$G:$G,'Sheet Rows'!$A:$A,A15,'Sheet Rows'!$B:$B,B15)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2026-04-25T17:49:02Z</dcterms:created>
  <dcterms:modified xsi:type="dcterms:W3CDTF">2026-04-25T17:49:02Z</dcterms:modified>
</cp:coreProperties>
</file>